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My Downloads\"/>
    </mc:Choice>
  </mc:AlternateContent>
  <xr:revisionPtr revIDLastSave="0" documentId="13_ncr:1_{FB91F93E-6B31-4F18-A257-48C4F846E5EA}" xr6:coauthVersionLast="47" xr6:coauthVersionMax="47" xr10:uidLastSave="{00000000-0000-0000-0000-000000000000}"/>
  <bookViews>
    <workbookView xWindow="-110" yWindow="-110" windowWidth="19420" windowHeight="10300" firstSheet="2" activeTab="2" xr2:uid="{DB5C2F1B-1033-46E2-9710-5E8B10D56E72}"/>
  </bookViews>
  <sheets>
    <sheet name="Assumptions" sheetId="1" r:id="rId1"/>
    <sheet name="FCFE_Forecast" sheetId="2" r:id="rId2"/>
    <sheet name="Valuation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3" l="1"/>
  <c r="E9" i="2"/>
  <c r="F3" i="2"/>
  <c r="G3" i="2" s="1"/>
  <c r="D4" i="2"/>
  <c r="D5" i="2" s="1"/>
  <c r="D6" i="2" l="1"/>
  <c r="F5" i="2"/>
  <c r="G5" i="2" s="1"/>
  <c r="F4" i="2"/>
  <c r="G4" i="2" s="1"/>
  <c r="D7" i="2" l="1"/>
  <c r="F7" i="2" s="1"/>
  <c r="F6" i="2"/>
  <c r="G6" i="2" s="1"/>
  <c r="G7" i="2" l="1"/>
  <c r="H5" i="3" s="1"/>
  <c r="E10" i="2"/>
  <c r="C3" i="3" s="1"/>
  <c r="H6" i="3" l="1"/>
  <c r="C4" i="3"/>
  <c r="C5" i="3" s="1"/>
  <c r="F4" i="3" s="1"/>
  <c r="I6" i="3"/>
  <c r="G7" i="3"/>
  <c r="I5" i="3"/>
  <c r="G6" i="3"/>
  <c r="H7" i="3"/>
  <c r="G5" i="3"/>
  <c r="I7" i="3"/>
</calcChain>
</file>

<file path=xl/sharedStrings.xml><?xml version="1.0" encoding="utf-8"?>
<sst xmlns="http://schemas.openxmlformats.org/spreadsheetml/2006/main" count="31" uniqueCount="30">
  <si>
    <t>Input</t>
  </si>
  <si>
    <t>Output</t>
  </si>
  <si>
    <t>Notes</t>
  </si>
  <si>
    <t>Cost of Equity (r)</t>
  </si>
  <si>
    <t>Terminal Growth (g)</t>
  </si>
  <si>
    <t>Shares Outstanding (crore)</t>
  </si>
  <si>
    <t>Start Year</t>
  </si>
  <si>
    <t>End Year</t>
  </si>
  <si>
    <t>Discount rate used for FCFE Valuation</t>
  </si>
  <si>
    <t xml:space="preserve">Longterm perptual Growth Assumption </t>
  </si>
  <si>
    <t>Total Equity share of Infosys</t>
  </si>
  <si>
    <t>First FCFE Projection</t>
  </si>
  <si>
    <t>Last Explicit Forecast Year</t>
  </si>
  <si>
    <t>Discount Rate- Low</t>
  </si>
  <si>
    <t>Discount Rate- Base</t>
  </si>
  <si>
    <t>Discount Rate - High</t>
  </si>
  <si>
    <t>Terminal Growth-Low</t>
  </si>
  <si>
    <t>Terminal Growth-Base</t>
  </si>
  <si>
    <t>Terminal Growth-High</t>
  </si>
  <si>
    <t>Year</t>
  </si>
  <si>
    <t>FCFE (₹ Crore)</t>
  </si>
  <si>
    <t>Discount Factor</t>
  </si>
  <si>
    <t>PV of FCFE (₹ Crore)</t>
  </si>
  <si>
    <t>Terminal Value (end of 2029)</t>
  </si>
  <si>
    <t>PV of Terminal Value</t>
  </si>
  <si>
    <t>PV of FCFE (2025 - 2029)</t>
  </si>
  <si>
    <t>Total Equity Value (₹ Crore)</t>
  </si>
  <si>
    <t>Intrinsic Value per Share (₹)</t>
  </si>
  <si>
    <t>Sensitivity- Intrinsic Value per share</t>
  </si>
  <si>
    <t>g/r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</si>
</sst>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3" xfId="0" applyBorder="1"/>
    <xf numFmtId="9" fontId="0" fillId="0" borderId="7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9" fontId="0" fillId="0" borderId="1" xfId="0" applyNumberFormat="1" applyBorder="1"/>
    <xf numFmtId="9" fontId="0" fillId="0" borderId="2" xfId="0" applyNumberFormat="1" applyBorder="1"/>
    <xf numFmtId="9" fontId="0" fillId="0" borderId="3" xfId="0" applyNumberFormat="1" applyBorder="1"/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1" fontId="0" fillId="0" borderId="0" xfId="0" applyNumberFormat="1"/>
    <xf numFmtId="1" fontId="0" fillId="0" borderId="2" xfId="0" applyNumberFormat="1" applyBorder="1"/>
    <xf numFmtId="1" fontId="0" fillId="0" borderId="17" xfId="0" applyNumberFormat="1" applyBorder="1"/>
    <xf numFmtId="1" fontId="0" fillId="0" borderId="3" xfId="0" applyNumberFormat="1" applyBorder="1"/>
    <xf numFmtId="9" fontId="1" fillId="0" borderId="14" xfId="0" applyNumberFormat="1" applyFont="1" applyBorder="1"/>
    <xf numFmtId="9" fontId="1" fillId="0" borderId="1" xfId="0" applyNumberFormat="1" applyFont="1" applyBorder="1"/>
    <xf numFmtId="9" fontId="1" fillId="0" borderId="15" xfId="0" applyNumberFormat="1" applyFont="1" applyBorder="1"/>
    <xf numFmtId="9" fontId="1" fillId="0" borderId="16" xfId="0" applyNumberFormat="1" applyFont="1" applyBorder="1"/>
    <xf numFmtId="2" fontId="0" fillId="0" borderId="12" xfId="0" applyNumberFormat="1" applyBorder="1"/>
    <xf numFmtId="0" fontId="0" fillId="0" borderId="18" xfId="0" applyBorder="1"/>
    <xf numFmtId="0" fontId="0" fillId="0" borderId="19" xfId="0" applyBorder="1"/>
    <xf numFmtId="1" fontId="0" fillId="0" borderId="1" xfId="0" applyNumberFormat="1" applyBorder="1"/>
    <xf numFmtId="0" fontId="0" fillId="0" borderId="15" xfId="0" applyBorder="1" applyAlignment="1">
      <alignment vertical="center" wrapText="1"/>
    </xf>
    <xf numFmtId="2" fontId="0" fillId="0" borderId="0" xfId="0" applyNumberFormat="1"/>
    <xf numFmtId="0" fontId="0" fillId="0" borderId="16" xfId="0" applyBorder="1" applyAlignment="1">
      <alignment vertical="center" wrapText="1"/>
    </xf>
    <xf numFmtId="0" fontId="0" fillId="0" borderId="17" xfId="0" applyBorder="1"/>
    <xf numFmtId="2" fontId="0" fillId="0" borderId="17" xfId="0" applyNumberFormat="1" applyBorder="1"/>
    <xf numFmtId="0" fontId="1" fillId="0" borderId="20" xfId="0" applyFont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0" fillId="0" borderId="1" xfId="0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12" xfId="0" applyFont="1" applyBorder="1"/>
    <xf numFmtId="0" fontId="1" fillId="0" borderId="13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4DDA74D-D7AB-4469-8FE3-A1C5F56193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843D3-7B83-41FD-803E-72B535C885DF}">
  <dimension ref="C2:J16"/>
  <sheetViews>
    <sheetView workbookViewId="0">
      <selection activeCell="I6" sqref="I6"/>
    </sheetView>
  </sheetViews>
  <sheetFormatPr defaultRowHeight="14.5" x14ac:dyDescent="0.35"/>
  <cols>
    <col min="1" max="1" width="11.81640625" bestFit="1" customWidth="1"/>
    <col min="3" max="3" width="32.453125" bestFit="1" customWidth="1"/>
    <col min="5" max="5" width="32.453125" bestFit="1" customWidth="1"/>
  </cols>
  <sheetData>
    <row r="2" spans="3:10" ht="15" thickBot="1" x14ac:dyDescent="0.4"/>
    <row r="3" spans="3:10" x14ac:dyDescent="0.35">
      <c r="C3" s="8" t="s">
        <v>0</v>
      </c>
      <c r="D3" s="9" t="s">
        <v>1</v>
      </c>
      <c r="E3" s="10" t="s">
        <v>2</v>
      </c>
    </row>
    <row r="4" spans="3:10" x14ac:dyDescent="0.35">
      <c r="C4" s="14" t="s">
        <v>3</v>
      </c>
      <c r="D4" s="5">
        <v>0.12</v>
      </c>
      <c r="E4" s="3" t="s">
        <v>8</v>
      </c>
    </row>
    <row r="5" spans="3:10" x14ac:dyDescent="0.35">
      <c r="C5" s="14" t="s">
        <v>4</v>
      </c>
      <c r="D5" s="5">
        <v>0.05</v>
      </c>
      <c r="E5" s="3" t="s">
        <v>9</v>
      </c>
      <c r="H5" s="1"/>
      <c r="I5" s="1"/>
      <c r="J5" s="1"/>
    </row>
    <row r="6" spans="3:10" x14ac:dyDescent="0.35">
      <c r="C6" s="14" t="s">
        <v>5</v>
      </c>
      <c r="D6" s="6">
        <v>415.09</v>
      </c>
      <c r="E6" s="3" t="s">
        <v>10</v>
      </c>
      <c r="H6" s="2"/>
    </row>
    <row r="7" spans="3:10" x14ac:dyDescent="0.35">
      <c r="C7" s="14" t="s">
        <v>6</v>
      </c>
      <c r="D7" s="6">
        <v>2025</v>
      </c>
      <c r="E7" s="3" t="s">
        <v>11</v>
      </c>
      <c r="H7" s="2"/>
    </row>
    <row r="8" spans="3:10" ht="15" thickBot="1" x14ac:dyDescent="0.4">
      <c r="C8" s="15" t="s">
        <v>7</v>
      </c>
      <c r="D8" s="7">
        <v>2029</v>
      </c>
      <c r="E8" s="4" t="s">
        <v>12</v>
      </c>
      <c r="H8" s="2"/>
    </row>
    <row r="9" spans="3:10" ht="15" thickBot="1" x14ac:dyDescent="0.4">
      <c r="H9" s="2"/>
    </row>
    <row r="10" spans="3:10" x14ac:dyDescent="0.35">
      <c r="C10" s="16" t="s">
        <v>13</v>
      </c>
      <c r="D10" s="11">
        <v>0.12</v>
      </c>
      <c r="H10" s="2"/>
    </row>
    <row r="11" spans="3:10" x14ac:dyDescent="0.35">
      <c r="C11" s="14" t="s">
        <v>14</v>
      </c>
      <c r="D11" s="12">
        <v>0.13</v>
      </c>
    </row>
    <row r="12" spans="3:10" ht="15" thickBot="1" x14ac:dyDescent="0.4">
      <c r="C12" s="15" t="s">
        <v>15</v>
      </c>
      <c r="D12" s="13">
        <v>0.14000000000000001</v>
      </c>
    </row>
    <row r="13" spans="3:10" ht="15" thickBot="1" x14ac:dyDescent="0.4"/>
    <row r="14" spans="3:10" x14ac:dyDescent="0.35">
      <c r="C14" s="16" t="s">
        <v>16</v>
      </c>
      <c r="D14" s="11">
        <v>0.04</v>
      </c>
    </row>
    <row r="15" spans="3:10" x14ac:dyDescent="0.35">
      <c r="C15" s="14" t="s">
        <v>17</v>
      </c>
      <c r="D15" s="12">
        <v>0.05</v>
      </c>
    </row>
    <row r="16" spans="3:10" ht="15" thickBot="1" x14ac:dyDescent="0.4">
      <c r="C16" s="15" t="s">
        <v>18</v>
      </c>
      <c r="D16" s="13">
        <v>0.06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E3C3-E6F1-4648-B172-5E4EA010B7E8}">
  <dimension ref="C1:G10"/>
  <sheetViews>
    <sheetView workbookViewId="0">
      <selection activeCell="M7" sqref="M7"/>
    </sheetView>
  </sheetViews>
  <sheetFormatPr defaultRowHeight="14.5" x14ac:dyDescent="0.35"/>
  <cols>
    <col min="3" max="3" width="9.36328125" bestFit="1" customWidth="1"/>
    <col min="4" max="4" width="13.90625" customWidth="1"/>
  </cols>
  <sheetData>
    <row r="1" spans="3:7" ht="15" thickBot="1" x14ac:dyDescent="0.4"/>
    <row r="2" spans="3:7" ht="43.5" x14ac:dyDescent="0.35">
      <c r="D2" s="34" t="s">
        <v>19</v>
      </c>
      <c r="E2" s="35" t="s">
        <v>20</v>
      </c>
      <c r="F2" s="35" t="s">
        <v>21</v>
      </c>
      <c r="G2" s="36" t="s">
        <v>22</v>
      </c>
    </row>
    <row r="3" spans="3:7" x14ac:dyDescent="0.35">
      <c r="D3" s="29">
        <v>2025</v>
      </c>
      <c r="E3">
        <v>30571.4</v>
      </c>
      <c r="F3" s="30">
        <f>1/(1+Assumptions!$D$4)^(D3-Assumptions!$D$7+1)</f>
        <v>0.89285714285714279</v>
      </c>
      <c r="G3" s="3">
        <f>E3*F3</f>
        <v>27295.892857142855</v>
      </c>
    </row>
    <row r="4" spans="3:7" x14ac:dyDescent="0.35">
      <c r="C4" s="2"/>
      <c r="D4" s="29">
        <f>D3+1</f>
        <v>2026</v>
      </c>
      <c r="E4">
        <v>33628.54</v>
      </c>
      <c r="F4" s="30">
        <f>1/(1+Assumptions!$D$4)^(D4-Assumptions!$D$7+1)</f>
        <v>0.79719387755102034</v>
      </c>
      <c r="G4" s="3">
        <f t="shared" ref="G4:G7" si="0">E4*F4</f>
        <v>26808.46619897959</v>
      </c>
    </row>
    <row r="5" spans="3:7" x14ac:dyDescent="0.35">
      <c r="C5" s="2"/>
      <c r="D5" s="29">
        <f>D4+1</f>
        <v>2027</v>
      </c>
      <c r="E5">
        <v>36991.39</v>
      </c>
      <c r="F5" s="30">
        <f>1/(1+Assumptions!$D$4)^(D5-Assumptions!$D$7+1)</f>
        <v>0.71178024781341087</v>
      </c>
      <c r="G5" s="3">
        <f t="shared" si="0"/>
        <v>26329.740741162528</v>
      </c>
    </row>
    <row r="6" spans="3:7" x14ac:dyDescent="0.35">
      <c r="C6" s="2"/>
      <c r="D6" s="29">
        <f>D5+1</f>
        <v>2028</v>
      </c>
      <c r="E6">
        <v>40690.53</v>
      </c>
      <c r="F6" s="30">
        <f>1/(1+Assumptions!$D$4)^(D6-Assumptions!$D$7+1)</f>
        <v>0.63551807840483121</v>
      </c>
      <c r="G6" s="3">
        <f t="shared" si="0"/>
        <v>25859.567434874134</v>
      </c>
    </row>
    <row r="7" spans="3:7" ht="15" thickBot="1" x14ac:dyDescent="0.4">
      <c r="C7" s="2"/>
      <c r="D7" s="31">
        <f>D6+1</f>
        <v>2029</v>
      </c>
      <c r="E7" s="32">
        <v>44759.58</v>
      </c>
      <c r="F7" s="33">
        <f>1/(1+Assumptions!$D$4)^(D7-Assumptions!$D$7+1)</f>
        <v>0.56742685571859919</v>
      </c>
      <c r="G7" s="4">
        <f t="shared" si="0"/>
        <v>25397.787742685097</v>
      </c>
    </row>
    <row r="8" spans="3:7" ht="15" thickBot="1" x14ac:dyDescent="0.4">
      <c r="D8" s="2"/>
    </row>
    <row r="9" spans="3:7" ht="72.5" x14ac:dyDescent="0.35">
      <c r="D9" s="16" t="s">
        <v>23</v>
      </c>
      <c r="E9" s="37">
        <f>E7*(1+Assumptions!D5)/(Assumptions!D4-Assumptions!D5)</f>
        <v>671393.70000000007</v>
      </c>
    </row>
    <row r="10" spans="3:7" ht="58.5" thickBot="1" x14ac:dyDescent="0.4">
      <c r="D10" s="15" t="s">
        <v>24</v>
      </c>
      <c r="E10" s="4">
        <f>E9*F7</f>
        <v>380966.8161402765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59AB6-F9C6-48C3-90E5-B3D8DA440887}">
  <dimension ref="B1:I7"/>
  <sheetViews>
    <sheetView tabSelected="1" topLeftCell="D1" workbookViewId="0">
      <selection activeCell="N8" sqref="N8"/>
    </sheetView>
  </sheetViews>
  <sheetFormatPr defaultRowHeight="14.5" x14ac:dyDescent="0.35"/>
  <cols>
    <col min="1" max="1" width="22.81640625" bestFit="1" customWidth="1"/>
    <col min="2" max="2" width="23.1796875" bestFit="1" customWidth="1"/>
    <col min="4" max="4" width="29.81640625" bestFit="1" customWidth="1"/>
  </cols>
  <sheetData>
    <row r="1" spans="2:9" ht="15" thickBot="1" x14ac:dyDescent="0.4"/>
    <row r="2" spans="2:9" ht="15" thickBot="1" x14ac:dyDescent="0.4">
      <c r="B2" s="38" t="s">
        <v>25</v>
      </c>
      <c r="C2" s="28">
        <f>SUM(FCFE_Forecast!G3:G7)</f>
        <v>131691.45497484421</v>
      </c>
      <c r="F2" s="41" t="s">
        <v>28</v>
      </c>
      <c r="G2" s="26"/>
      <c r="H2" s="26"/>
      <c r="I2" s="27"/>
    </row>
    <row r="3" spans="2:9" ht="15" thickBot="1" x14ac:dyDescent="0.4">
      <c r="B3" s="39" t="s">
        <v>24</v>
      </c>
      <c r="C3" s="3">
        <f>FCFE_Forecast!E10</f>
        <v>380966.8161402765</v>
      </c>
    </row>
    <row r="4" spans="2:9" ht="15" thickBot="1" x14ac:dyDescent="0.4">
      <c r="B4" s="39" t="s">
        <v>26</v>
      </c>
      <c r="C4" s="18">
        <f>C2+C3</f>
        <v>512658.27111512073</v>
      </c>
      <c r="E4" s="42" t="s">
        <v>29</v>
      </c>
      <c r="F4" s="25">
        <f>$C$5</f>
        <v>1235.0532923344836</v>
      </c>
      <c r="G4" s="21">
        <v>0.12</v>
      </c>
      <c r="H4" s="21">
        <v>0.13</v>
      </c>
      <c r="I4" s="22">
        <v>0.14000000000000001</v>
      </c>
    </row>
    <row r="5" spans="2:9" ht="15" thickBot="1" x14ac:dyDescent="0.4">
      <c r="B5" s="40" t="s">
        <v>27</v>
      </c>
      <c r="C5" s="4">
        <f>C4/Assumptions!D6</f>
        <v>1235.0532923344836</v>
      </c>
      <c r="F5" s="23">
        <v>0.04</v>
      </c>
      <c r="G5" s="17">
        <f>(
SUM(FCFE_Forecast!$G$3:$G$7) +
(FCFE_Forecast!$E$7*(1+$F5)/(G$4-$F5))*FCFE_Forecast!$F$7
)/Assumptions!$D$6</f>
        <v>1112.6808538624168</v>
      </c>
      <c r="H5" s="17">
        <f>(
SUM(FCFE_Forecast!$G$3:$G$7) +
(FCFE_Forecast!$E$7*(1+$F5)/(H$4-$F5))*FCFE_Forecast!$F$7
)/Assumptions!$D$6</f>
        <v>1024.3007594103685</v>
      </c>
      <c r="I5" s="18">
        <f>(
SUM(FCFE_Forecast!$G$3:$G$7) +
(FCFE_Forecast!$E$7*(1+$F5)/(I$4-$F5))*FCFE_Forecast!$F$7
)/Assumptions!$D$6</f>
        <v>953.59668384872987</v>
      </c>
    </row>
    <row r="6" spans="2:9" x14ac:dyDescent="0.35">
      <c r="F6" s="23">
        <v>0.05</v>
      </c>
      <c r="G6" s="17">
        <f>(
SUM(FCFE_Forecast!$G$3:$G$7) +
(FCFE_Forecast!$E$7*(1+$F6)/(G$4-$F6))*FCFE_Forecast!$F$7
)/Assumptions!$D$6</f>
        <v>1235.0532923344836</v>
      </c>
      <c r="H6" s="17">
        <f>(
SUM(FCFE_Forecast!$G$3:$G$7) +
(FCFE_Forecast!$E$7*(1+$F6)/(H$4-$F6))*FCFE_Forecast!$F$7
)/Assumptions!$D$6</f>
        <v>1120.329131266921</v>
      </c>
      <c r="I6" s="18">
        <f>(
SUM(FCFE_Forecast!$G$3:$G$7) +
(FCFE_Forecast!$E$7*(1+$F6)/(I$4-$F6))*FCFE_Forecast!$F$7
)/Assumptions!$D$6</f>
        <v>1031.099228214372</v>
      </c>
    </row>
    <row r="7" spans="2:9" ht="15" thickBot="1" x14ac:dyDescent="0.4">
      <c r="F7" s="24">
        <v>0.06</v>
      </c>
      <c r="G7" s="19">
        <f>(
SUM(FCFE_Forecast!$G$3:$G$7) +
(FCFE_Forecast!$E$7*(1+$F7)/(G$4-$F7))*FCFE_Forecast!$F$7
)/Assumptions!$D$6</f>
        <v>1398.2165436305725</v>
      </c>
      <c r="H7" s="19">
        <f>(
SUM(FCFE_Forecast!$G$3:$G$7) +
(FCFE_Forecast!$E$7*(1+$F7)/(H$4-$F7))*FCFE_Forecast!$F$7
)/Assumptions!$D$6</f>
        <v>1243.7941807967738</v>
      </c>
      <c r="I7" s="20">
        <f>(
SUM(FCFE_Forecast!$G$3:$G$7) +
(FCFE_Forecast!$E$7*(1+$F7)/(I$4-$F7))*FCFE_Forecast!$F$7
)/Assumptions!$D$6</f>
        <v>1127.9774086714249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FCFE_Forecast</vt:lpstr>
      <vt:lpstr>Valuation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Janit Pathak</dc:creator>
  <cp:lastModifiedBy>Janit Pathak</cp:lastModifiedBy>
  <dcterms:created xsi:type="dcterms:W3CDTF">2026-02-10T23:21:44Z</dcterms:created>
  <dcterms:modified xsi:type="dcterms:W3CDTF">2026-02-11T18:24:33Z</dcterms:modified>
</cp:coreProperties>
</file>